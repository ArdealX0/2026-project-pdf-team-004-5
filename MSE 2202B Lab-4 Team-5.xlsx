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<sst xmlns="http://schemas.openxmlformats.org/spreadsheetml/2006/main" count="256" uniqueCount="75">
  <si>
    <t>ID</t>
  </si>
  <si>
    <t>Concepts</t>
  </si>
  <si>
    <t>Size</t>
  </si>
  <si>
    <t>Sorting of Erasers</t>
  </si>
  <si>
    <t>Navigation</t>
  </si>
  <si>
    <t>Power/Battery</t>
  </si>
  <si>
    <t>Weight Drivable</t>
  </si>
  <si>
    <t>Time-Efficient</t>
  </si>
  <si>
    <t>Autonomous</t>
  </si>
  <si>
    <t>Budget</t>
  </si>
  <si>
    <t>Durability</t>
  </si>
  <si>
    <t>Manufacturability</t>
  </si>
  <si>
    <t>Reasoning</t>
  </si>
  <si>
    <t>Gears with Tracks</t>
  </si>
  <si>
    <t>Go</t>
  </si>
  <si>
    <t>N/A</t>
  </si>
  <si>
    <t>Maybe</t>
  </si>
  <si>
    <t>- Requires precise alignment, tension control, and additional mechanical components, increasing fabrication complexity.
- Higher material cost reduces overall efficiency and mobility compared to simpler wheel-based systems.</t>
  </si>
  <si>
    <t>Aftermarket Rubber Wheels</t>
  </si>
  <si>
    <t>- Purchasing pre-manufactured components increases total project cost.
- Cost may not justify marginal traction improvement over lower-cost alternatives.</t>
  </si>
  <si>
    <t>Self-Manufactured 3D Printed Wheels + Rubber Band Tires</t>
  </si>
  <si>
    <t>- 3D printed materials may wear down under continuous friction and load.
- Rubber bands can stretch or degrade, reducing long-term reliability.</t>
  </si>
  <si>
    <t>4 Wheel Drive</t>
  </si>
  <si>
    <t>No Go</t>
  </si>
  <si>
    <t>- Requires synchronization between two ESP32 boards, increasing software complexity.
- Coordinating encoder feedback and motor control adds unnecessary programming overhead.</t>
  </si>
  <si>
    <t>2 Wheel Drive</t>
  </si>
  <si>
    <t>- Uneven weight distribution may reduce traction and stability.
- Limited drive contact points can affect load handling performance.</t>
  </si>
  <si>
    <t>Conveyor Belt + 2 Lane Knocking System</t>
  </si>
  <si>
    <t>- System footprint exceeds locker size constraints.
- Additional belt and lane structure increases spatial requirements.</t>
  </si>
  <si>
    <t>Steep Slide with Hatch System</t>
  </si>
  <si>
    <t>Slide With Sorting Wheel</t>
  </si>
  <si>
    <t>- Sorting wheel timing must align precisely with item arrival.
- Rotational misalignment may reduce throughput efficiency.</t>
  </si>
  <si>
    <t>Slide</t>
  </si>
  <si>
    <t>Gate</t>
  </si>
  <si>
    <t>- Servo actuation introduces delay during opening and closing cycles.
- Mechanical lag may slow repeated sorting operations.</t>
  </si>
  <si>
    <t>UltraSonic Sensor</t>
  </si>
  <si>
    <t>Infrared Sensor</t>
  </si>
  <si>
    <t>- Lab IR sensor is unreliable for accurate distance measurement.
- Readings are affected by ambient light and surface reflectivity.-</t>
  </si>
  <si>
    <t>UltraSonic + Infrared Sensor</t>
  </si>
  <si>
    <t>Scoop pick-up</t>
  </si>
  <si>
    <t>Claw</t>
  </si>
  <si>
    <t>- Requires precise servo calibration and grip control.
- Complex geometry increases fabrication difficulty.</t>
  </si>
  <si>
    <t>Scoop pick-up + Gate</t>
  </si>
  <si>
    <t>- Combining scoop and gate may introduce redundant handling steps.
- Additional mechanism coordination increases cycle time.</t>
  </si>
  <si>
    <t>Objectives</t>
  </si>
  <si>
    <t>Simplicity of Design</t>
  </si>
  <si>
    <t>Sorting Accuracy &amp; Amount</t>
  </si>
  <si>
    <t>Efficient Weight Distribution</t>
  </si>
  <si>
    <t>Navigation Accuracy</t>
  </si>
  <si>
    <t>Efficient UI</t>
  </si>
  <si>
    <t>Total</t>
  </si>
  <si>
    <t>Normalized Weighting</t>
  </si>
  <si>
    <t>Legend</t>
  </si>
  <si>
    <t>Relative Importance</t>
  </si>
  <si>
    <t>Score</t>
  </si>
  <si>
    <t>Exceptionally Less</t>
  </si>
  <si>
    <t>Much Less</t>
  </si>
  <si>
    <t>Less</t>
  </si>
  <si>
    <t>Slightly Less</t>
  </si>
  <si>
    <t>Equally Important</t>
  </si>
  <si>
    <t>Slightly More</t>
  </si>
  <si>
    <t>More</t>
  </si>
  <si>
    <t>Much More</t>
  </si>
  <si>
    <t>Exceptionally More</t>
  </si>
  <si>
    <t>#</t>
  </si>
  <si>
    <t>Objective</t>
  </si>
  <si>
    <t>How to Measure</t>
  </si>
  <si>
    <t>Weight (higher number is more important)</t>
  </si>
  <si>
    <t>Results</t>
  </si>
  <si>
    <t>Weighted Totals</t>
  </si>
  <si>
    <t>Apply conditional formatting to "Totals" row for better visualization</t>
  </si>
  <si>
    <t>Making sure objectives are solution independent!</t>
  </si>
  <si>
    <t>Wherever possible include a note indicating how that objective (desirable attribute or feature of the solution) could be measured or evaluated and thus compared across all solution candidates.</t>
  </si>
  <si>
    <t>Don’t forget things like convenience, efficiency, size, portability, cost, durability, etc.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</si>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</sst>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</font>
    <font>
      <sz val="11.0"/>
      <color rgb="FF000000"/>
      <name val="Arial"/>
    </font>
    <font>
      <b/>
      <color rgb="FFFFFFFF"/>
      <name val="Arial"/>
    </font>
    <font>
      <sz val="12.0"/>
      <color rgb="FF000000"/>
      <name val="Calibri"/>
    </font>
    <font/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7030A0"/>
        <bgColor rgb="FF7030A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0" fontId="7" numFmtId="4" xfId="0" applyAlignment="1" applyBorder="1" applyFont="1" applyNumberFormat="1">
      <alignment readingOrder="0" shrinkToFit="0" vertical="bottom" wrapText="0"/>
    </xf>
    <xf borderId="0" fillId="0" fontId="8" numFmtId="4" xfId="0" applyAlignment="1" applyFont="1" applyNumberFormat="1">
      <alignment horizontal="left" readingOrder="0" shrinkToFit="0" wrapText="1"/>
    </xf>
    <xf borderId="1" fillId="0" fontId="7" numFmtId="4" xfId="0" applyAlignment="1" applyBorder="1" applyFont="1" applyNumberFormat="1">
      <alignment horizontal="center" readingOrder="0" shrinkToFit="0" vertical="bottom" wrapText="0"/>
    </xf>
    <xf borderId="1" fillId="9" fontId="9" numFmtId="4" xfId="0" applyAlignment="1" applyBorder="1" applyFill="1" applyFont="1" applyNumberFormat="1">
      <alignment readingOrder="0" shrinkToFit="0" vertical="bottom" wrapText="0"/>
    </xf>
    <xf borderId="0" fillId="0" fontId="10" numFmtId="4" xfId="0" applyAlignment="1" applyFont="1" applyNumberFormat="1">
      <alignment shrinkToFit="0" vertical="bottom" wrapText="0"/>
    </xf>
    <xf borderId="2" fillId="0" fontId="7" numFmtId="4" xfId="0" applyAlignment="1" applyBorder="1" applyFont="1" applyNumberFormat="1">
      <alignment horizontal="center" readingOrder="0" shrinkToFit="0" vertical="bottom" wrapText="0"/>
    </xf>
    <xf borderId="3" fillId="0" fontId="11" numFmtId="0" xfId="0" applyBorder="1" applyFont="1"/>
    <xf borderId="0" fillId="0" fontId="3" numFmtId="4" xfId="0" applyFont="1" applyNumberFormat="1"/>
    <xf borderId="1" fillId="10" fontId="7" numFmtId="4" xfId="0" applyAlignment="1" applyBorder="1" applyFill="1" applyFont="1" applyNumberFormat="1">
      <alignment horizontal="center" readingOrder="0" shrinkToFit="0" wrapText="0"/>
    </xf>
    <xf borderId="1" fillId="0" fontId="12" numFmtId="4" xfId="0" applyAlignment="1" applyBorder="1" applyFont="1" applyNumberFormat="1">
      <alignment horizontal="center" readingOrder="0" shrinkToFit="0" wrapText="0"/>
    </xf>
    <xf borderId="1" fillId="0" fontId="12" numFmtId="4" xfId="0" applyAlignment="1" applyBorder="1" applyFont="1" applyNumberFormat="1">
      <alignment horizontal="right" readingOrder="0" shrinkToFit="0" vertical="bottom" wrapText="0"/>
    </xf>
    <xf borderId="1" fillId="0" fontId="7" numFmtId="4" xfId="0" applyAlignment="1" applyBorder="1" applyFont="1" applyNumberFormat="1">
      <alignment horizontal="right" readingOrder="0" shrinkToFit="0" vertical="bottom" wrapText="0"/>
    </xf>
    <xf borderId="1" fillId="11" fontId="12" numFmtId="4" xfId="0" applyAlignment="1" applyBorder="1" applyFill="1" applyFont="1" applyNumberFormat="1">
      <alignment horizontal="center" readingOrder="0" shrinkToFit="0" wrapText="0"/>
    </xf>
    <xf borderId="1" fillId="0" fontId="12" numFmtId="4" xfId="0" applyAlignment="1" applyBorder="1" applyFont="1" applyNumberFormat="1">
      <alignment readingOrder="0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1" fillId="0" fontId="12" numFmtId="4" xfId="0" applyAlignment="1" applyBorder="1" applyFont="1" applyNumberFormat="1">
      <alignment horizontal="center" shrinkToFit="0" wrapText="0"/>
    </xf>
    <xf borderId="1" fillId="11" fontId="12" numFmtId="164" xfId="0" applyAlignment="1" applyBorder="1" applyFont="1" applyNumberFormat="1">
      <alignment horizontal="center" readingOrder="0" shrinkToFit="0" wrapText="0"/>
    </xf>
    <xf borderId="1" fillId="0" fontId="12" numFmtId="4" xfId="0" applyAlignment="1" applyBorder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readingOrder="0" shrinkToFit="0" vertical="bottom" wrapText="0"/>
    </xf>
    <xf borderId="1" fillId="12" fontId="2" numFmtId="0" xfId="0" applyAlignment="1" applyBorder="1" applyFill="1" applyFont="1">
      <alignment horizontal="center" readingOrder="0" shrinkToFit="0" wrapText="1"/>
    </xf>
    <xf borderId="1" fillId="12" fontId="2" numFmtId="0" xfId="0" applyAlignment="1" applyBorder="1" applyFont="1">
      <alignment readingOrder="0" shrinkToFit="0" wrapText="1"/>
    </xf>
    <xf borderId="1" fillId="10" fontId="13" numFmtId="0" xfId="0" applyAlignment="1" applyBorder="1" applyFont="1">
      <alignment readingOrder="0" shrinkToFit="0" vertical="bottom" wrapText="1"/>
    </xf>
    <xf borderId="1" fillId="0" fontId="13" numFmtId="0" xfId="0" applyAlignment="1" applyBorder="1" applyFont="1">
      <alignment readingOrder="0" shrinkToFit="0" vertical="bottom" wrapText="1"/>
    </xf>
    <xf borderId="1" fillId="3" fontId="14" numFmtId="0" xfId="0" applyAlignment="1" applyBorder="1" applyFont="1">
      <alignment shrinkToFit="0" vertical="bottom" wrapText="1"/>
    </xf>
    <xf borderId="1" fillId="5" fontId="14" numFmtId="0" xfId="0" applyAlignment="1" applyBorder="1" applyFont="1">
      <alignment shrinkToFit="0" vertical="bottom" wrapText="1"/>
    </xf>
    <xf borderId="1" fillId="6" fontId="14" numFmtId="0" xfId="0" applyAlignment="1" applyBorder="1" applyFont="1">
      <alignment shrinkToFit="0" vertical="bottom" wrapText="1"/>
    </xf>
    <xf borderId="1" fillId="11" fontId="14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8" numFmtId="4" xfId="0" applyAlignment="1" applyBorder="1" applyFont="1" applyNumberFormat="1">
      <alignment horizontal="left" readingOrder="0" shrinkToFit="0" wrapText="1"/>
    </xf>
    <xf borderId="1" fillId="0" fontId="13" numFmtId="0" xfId="0" applyAlignment="1" applyBorder="1" applyFont="1">
      <alignment shrinkToFit="0" vertical="bottom" wrapText="1"/>
    </xf>
    <xf borderId="1" fillId="0" fontId="13" numFmtId="4" xfId="0" applyAlignment="1" applyBorder="1" applyFont="1" applyNumberFormat="1">
      <alignment horizontal="center"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0" fillId="0" fontId="13" numFmtId="0" xfId="0" applyAlignment="1" applyFont="1">
      <alignment shrinkToFit="0" vertical="bottom" wrapText="1"/>
    </xf>
    <xf borderId="4" fillId="12" fontId="2" numFmtId="0" xfId="0" applyAlignment="1" applyBorder="1" applyFont="1">
      <alignment horizontal="center" readingOrder="0" shrinkToFit="0" vertical="bottom" wrapText="1"/>
    </xf>
    <xf borderId="4" fillId="0" fontId="11" numFmtId="0" xfId="0" applyBorder="1" applyFont="1"/>
    <xf borderId="1" fillId="12" fontId="3" numFmtId="0" xfId="0" applyAlignment="1" applyBorder="1" applyFont="1">
      <alignment shrinkToFit="0" wrapText="1"/>
    </xf>
    <xf borderId="4" fillId="0" fontId="13" numFmtId="0" xfId="0" applyAlignment="1" applyBorder="1" applyFont="1">
      <alignment horizontal="center" readingOrder="0" shrinkToFit="0" vertical="bottom" wrapText="1"/>
    </xf>
    <xf borderId="1" fillId="13" fontId="13" numFmtId="0" xfId="0" applyAlignment="1" applyBorder="1" applyFill="1" applyFont="1">
      <alignment horizontal="center"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6.75"/>
    <col customWidth="1" min="4" max="4" width="15.88"/>
    <col customWidth="1" min="12" max="12" width="18.13"/>
    <col customWidth="1" min="16" max="16" width="0.38"/>
    <col customWidth="1" min="17" max="17" width="35.38"/>
    <col customWidth="1" min="18" max="18" width="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13</v>
      </c>
      <c r="C2" s="5" t="s">
        <v>14</v>
      </c>
      <c r="D2" s="5" t="s">
        <v>15</v>
      </c>
      <c r="E2" s="5" t="s">
        <v>14</v>
      </c>
      <c r="F2" s="5" t="s">
        <v>15</v>
      </c>
      <c r="G2" s="5" t="s">
        <v>14</v>
      </c>
      <c r="H2" s="5" t="s">
        <v>15</v>
      </c>
      <c r="I2" s="5" t="s">
        <v>15</v>
      </c>
      <c r="J2" s="5" t="s">
        <v>14</v>
      </c>
      <c r="K2" s="5" t="s">
        <v>14</v>
      </c>
      <c r="L2" s="5" t="s">
        <v>16</v>
      </c>
      <c r="M2" s="7" t="s">
        <v>17</v>
      </c>
      <c r="S2" s="4"/>
      <c r="T2" s="4"/>
      <c r="U2" s="4"/>
      <c r="V2" s="4"/>
      <c r="W2" s="4"/>
      <c r="X2" s="4"/>
      <c r="Y2" s="4"/>
      <c r="Z2" s="4"/>
    </row>
    <row r="3">
      <c r="A3" s="8">
        <f t="shared" ref="A3:A16" si="1">A2+1</f>
        <v>2</v>
      </c>
      <c r="B3" s="6" t="s">
        <v>18</v>
      </c>
      <c r="C3" s="5" t="s">
        <v>14</v>
      </c>
      <c r="D3" s="5" t="s">
        <v>15</v>
      </c>
      <c r="E3" s="5" t="s">
        <v>14</v>
      </c>
      <c r="F3" s="5" t="s">
        <v>15</v>
      </c>
      <c r="G3" s="5" t="s">
        <v>14</v>
      </c>
      <c r="H3" s="5" t="s">
        <v>14</v>
      </c>
      <c r="I3" s="5" t="s">
        <v>15</v>
      </c>
      <c r="J3" s="5" t="s">
        <v>16</v>
      </c>
      <c r="K3" s="5" t="s">
        <v>14</v>
      </c>
      <c r="L3" s="5" t="s">
        <v>14</v>
      </c>
      <c r="M3" s="7" t="s">
        <v>19</v>
      </c>
      <c r="S3" s="4"/>
      <c r="T3" s="4"/>
      <c r="U3" s="4"/>
      <c r="V3" s="4"/>
      <c r="W3" s="4"/>
      <c r="X3" s="4"/>
      <c r="Y3" s="4"/>
      <c r="Z3" s="4"/>
    </row>
    <row r="4">
      <c r="A4" s="8">
        <f t="shared" si="1"/>
        <v>3</v>
      </c>
      <c r="B4" s="6" t="s">
        <v>20</v>
      </c>
      <c r="C4" s="5" t="s">
        <v>14</v>
      </c>
      <c r="D4" s="5" t="s">
        <v>15</v>
      </c>
      <c r="E4" s="5" t="s">
        <v>14</v>
      </c>
      <c r="F4" s="5" t="s">
        <v>15</v>
      </c>
      <c r="G4" s="5" t="s">
        <v>14</v>
      </c>
      <c r="H4" s="5" t="s">
        <v>15</v>
      </c>
      <c r="I4" s="5" t="s">
        <v>15</v>
      </c>
      <c r="J4" s="5" t="s">
        <v>14</v>
      </c>
      <c r="K4" s="5" t="s">
        <v>16</v>
      </c>
      <c r="L4" s="5" t="s">
        <v>14</v>
      </c>
      <c r="M4" s="7" t="s">
        <v>21</v>
      </c>
      <c r="S4" s="4"/>
      <c r="T4" s="4"/>
      <c r="U4" s="4"/>
      <c r="V4" s="4"/>
      <c r="W4" s="4"/>
      <c r="X4" s="4"/>
      <c r="Y4" s="4"/>
      <c r="Z4" s="4"/>
    </row>
    <row r="5">
      <c r="A5" s="8">
        <f t="shared" si="1"/>
        <v>4</v>
      </c>
      <c r="B5" s="9" t="s">
        <v>22</v>
      </c>
      <c r="C5" s="5" t="s">
        <v>14</v>
      </c>
      <c r="D5" s="5" t="s">
        <v>15</v>
      </c>
      <c r="E5" s="5" t="s">
        <v>14</v>
      </c>
      <c r="F5" s="5" t="s">
        <v>23</v>
      </c>
      <c r="G5" s="5" t="s">
        <v>14</v>
      </c>
      <c r="H5" s="5" t="s">
        <v>14</v>
      </c>
      <c r="I5" s="5" t="s">
        <v>23</v>
      </c>
      <c r="J5" s="5" t="s">
        <v>14</v>
      </c>
      <c r="K5" s="5" t="s">
        <v>14</v>
      </c>
      <c r="L5" s="5" t="s">
        <v>14</v>
      </c>
      <c r="M5" s="7" t="s">
        <v>24</v>
      </c>
      <c r="S5" s="4"/>
      <c r="T5" s="4"/>
      <c r="U5" s="4"/>
      <c r="V5" s="4"/>
      <c r="W5" s="4"/>
      <c r="X5" s="4"/>
      <c r="Y5" s="4"/>
      <c r="Z5" s="4"/>
    </row>
    <row r="6">
      <c r="A6" s="8">
        <f t="shared" si="1"/>
        <v>5</v>
      </c>
      <c r="B6" s="9" t="s">
        <v>25</v>
      </c>
      <c r="C6" s="5" t="s">
        <v>14</v>
      </c>
      <c r="D6" s="5" t="s">
        <v>15</v>
      </c>
      <c r="E6" s="5" t="s">
        <v>14</v>
      </c>
      <c r="F6" s="5" t="s">
        <v>14</v>
      </c>
      <c r="G6" s="5" t="s">
        <v>16</v>
      </c>
      <c r="H6" s="5" t="s">
        <v>16</v>
      </c>
      <c r="I6" s="5" t="s">
        <v>14</v>
      </c>
      <c r="J6" s="5" t="s">
        <v>14</v>
      </c>
      <c r="K6" s="5" t="s">
        <v>14</v>
      </c>
      <c r="L6" s="5" t="s">
        <v>14</v>
      </c>
      <c r="M6" s="7" t="s">
        <v>26</v>
      </c>
      <c r="S6" s="4"/>
      <c r="T6" s="4"/>
      <c r="U6" s="4"/>
      <c r="V6" s="4"/>
      <c r="W6" s="4"/>
      <c r="X6" s="4"/>
      <c r="Y6" s="4"/>
      <c r="Z6" s="4"/>
    </row>
    <row r="7">
      <c r="A7" s="8">
        <f t="shared" si="1"/>
        <v>6</v>
      </c>
      <c r="B7" s="10" t="s">
        <v>27</v>
      </c>
      <c r="C7" s="5" t="s">
        <v>23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16</v>
      </c>
      <c r="I7" s="5" t="s">
        <v>14</v>
      </c>
      <c r="J7" s="5" t="s">
        <v>16</v>
      </c>
      <c r="K7" s="5" t="s">
        <v>16</v>
      </c>
      <c r="L7" s="5" t="s">
        <v>16</v>
      </c>
      <c r="M7" s="7" t="s">
        <v>28</v>
      </c>
      <c r="S7" s="4"/>
      <c r="T7" s="4"/>
      <c r="U7" s="4"/>
      <c r="V7" s="4"/>
      <c r="W7" s="4"/>
      <c r="X7" s="4"/>
      <c r="Y7" s="4"/>
      <c r="Z7" s="4"/>
    </row>
    <row r="8">
      <c r="A8" s="8">
        <f t="shared" si="1"/>
        <v>7</v>
      </c>
      <c r="B8" s="10" t="s">
        <v>29</v>
      </c>
      <c r="C8" s="5" t="s">
        <v>14</v>
      </c>
      <c r="D8" s="5" t="s">
        <v>14</v>
      </c>
      <c r="E8" s="5" t="s">
        <v>15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11"/>
      <c r="S8" s="4"/>
      <c r="T8" s="4"/>
      <c r="U8" s="4"/>
      <c r="V8" s="4"/>
      <c r="W8" s="4"/>
      <c r="X8" s="4"/>
      <c r="Y8" s="4"/>
      <c r="Z8" s="4"/>
    </row>
    <row r="9">
      <c r="A9" s="8">
        <f t="shared" si="1"/>
        <v>8</v>
      </c>
      <c r="B9" s="10" t="s">
        <v>30</v>
      </c>
      <c r="C9" s="5" t="s">
        <v>14</v>
      </c>
      <c r="D9" s="5" t="s">
        <v>14</v>
      </c>
      <c r="E9" s="5" t="s">
        <v>15</v>
      </c>
      <c r="F9" s="5" t="s">
        <v>14</v>
      </c>
      <c r="G9" s="5" t="s">
        <v>14</v>
      </c>
      <c r="H9" s="5" t="s">
        <v>16</v>
      </c>
      <c r="I9" s="5" t="s">
        <v>14</v>
      </c>
      <c r="J9" s="5" t="s">
        <v>14</v>
      </c>
      <c r="K9" s="5" t="s">
        <v>14</v>
      </c>
      <c r="L9" s="5" t="s">
        <v>14</v>
      </c>
      <c r="M9" s="7" t="s">
        <v>31</v>
      </c>
      <c r="S9" s="4"/>
      <c r="T9" s="4"/>
      <c r="U9" s="4"/>
      <c r="V9" s="4"/>
      <c r="W9" s="4"/>
      <c r="X9" s="4"/>
      <c r="Y9" s="4"/>
      <c r="Z9" s="4"/>
    </row>
    <row r="10">
      <c r="A10" s="8">
        <f t="shared" si="1"/>
        <v>9</v>
      </c>
      <c r="B10" s="12" t="s">
        <v>32</v>
      </c>
      <c r="C10" s="5" t="s">
        <v>14</v>
      </c>
      <c r="D10" s="5" t="s">
        <v>15</v>
      </c>
      <c r="E10" s="5" t="s">
        <v>15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11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1"/>
        <v>10</v>
      </c>
      <c r="B11" s="12" t="s">
        <v>33</v>
      </c>
      <c r="C11" s="5" t="s">
        <v>14</v>
      </c>
      <c r="D11" s="5" t="s">
        <v>15</v>
      </c>
      <c r="E11" s="5" t="s">
        <v>15</v>
      </c>
      <c r="F11" s="5" t="s">
        <v>14</v>
      </c>
      <c r="G11" s="5" t="s">
        <v>14</v>
      </c>
      <c r="H11" s="5" t="s">
        <v>16</v>
      </c>
      <c r="I11" s="5" t="s">
        <v>14</v>
      </c>
      <c r="J11" s="5" t="s">
        <v>14</v>
      </c>
      <c r="K11" s="5" t="s">
        <v>14</v>
      </c>
      <c r="L11" s="5" t="s">
        <v>14</v>
      </c>
      <c r="M11" s="7" t="s">
        <v>34</v>
      </c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1"/>
        <v>11</v>
      </c>
      <c r="B12" s="13" t="s">
        <v>35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15</v>
      </c>
      <c r="M12" s="11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1"/>
        <v>12</v>
      </c>
      <c r="B13" s="13" t="s">
        <v>36</v>
      </c>
      <c r="C13" s="5" t="s">
        <v>14</v>
      </c>
      <c r="D13" s="5" t="s">
        <v>14</v>
      </c>
      <c r="E13" s="5" t="s">
        <v>23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16</v>
      </c>
      <c r="K13" s="5" t="s">
        <v>14</v>
      </c>
      <c r="L13" s="5" t="s">
        <v>15</v>
      </c>
      <c r="M13" s="7" t="s">
        <v>37</v>
      </c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1"/>
        <v>13</v>
      </c>
      <c r="B14" s="13" t="s">
        <v>38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15</v>
      </c>
      <c r="M14" s="11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1"/>
        <v>14</v>
      </c>
      <c r="B15" s="14" t="s">
        <v>39</v>
      </c>
      <c r="C15" s="5" t="s">
        <v>14</v>
      </c>
      <c r="D15" s="5" t="s">
        <v>14</v>
      </c>
      <c r="E15" s="5" t="s">
        <v>15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14</v>
      </c>
      <c r="M15" s="11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1"/>
        <v>15</v>
      </c>
      <c r="B16" s="14" t="s">
        <v>40</v>
      </c>
      <c r="C16" s="5" t="s">
        <v>14</v>
      </c>
      <c r="D16" s="5" t="s">
        <v>14</v>
      </c>
      <c r="E16" s="5" t="s">
        <v>15</v>
      </c>
      <c r="F16" s="5" t="s">
        <v>14</v>
      </c>
      <c r="G16" s="5" t="s">
        <v>16</v>
      </c>
      <c r="H16" s="5" t="s">
        <v>16</v>
      </c>
      <c r="I16" s="5" t="s">
        <v>14</v>
      </c>
      <c r="J16" s="5" t="s">
        <v>14</v>
      </c>
      <c r="K16" s="5" t="s">
        <v>16</v>
      </c>
      <c r="L16" s="5" t="s">
        <v>16</v>
      </c>
      <c r="M16" s="7" t="s">
        <v>41</v>
      </c>
      <c r="S16" s="4"/>
      <c r="T16" s="4"/>
      <c r="U16" s="4"/>
      <c r="V16" s="4"/>
      <c r="W16" s="4"/>
      <c r="X16" s="4"/>
      <c r="Y16" s="4"/>
      <c r="Z16" s="4"/>
    </row>
    <row r="17">
      <c r="A17" s="5">
        <v>16.0</v>
      </c>
      <c r="B17" s="15" t="s">
        <v>42</v>
      </c>
      <c r="C17" s="5" t="s">
        <v>14</v>
      </c>
      <c r="D17" s="5" t="s">
        <v>14</v>
      </c>
      <c r="E17" s="5" t="s">
        <v>15</v>
      </c>
      <c r="F17" s="5" t="s">
        <v>14</v>
      </c>
      <c r="G17" s="5" t="s">
        <v>14</v>
      </c>
      <c r="H17" s="5" t="s">
        <v>16</v>
      </c>
      <c r="I17" s="5" t="s">
        <v>14</v>
      </c>
      <c r="J17" s="5" t="s">
        <v>14</v>
      </c>
      <c r="K17" s="5" t="s">
        <v>14</v>
      </c>
      <c r="L17" s="5" t="s">
        <v>14</v>
      </c>
      <c r="M17" s="7" t="s">
        <v>43</v>
      </c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M5:R5"/>
    <mergeCell ref="M6:R6"/>
    <mergeCell ref="M7:R7"/>
    <mergeCell ref="M4:R4"/>
    <mergeCell ref="M3:R3"/>
    <mergeCell ref="M2:R2"/>
    <mergeCell ref="M1:R1"/>
    <mergeCell ref="M15:R15"/>
    <mergeCell ref="M16:R16"/>
    <mergeCell ref="M17:R17"/>
    <mergeCell ref="M8:R8"/>
    <mergeCell ref="M9:R9"/>
    <mergeCell ref="M10:R10"/>
    <mergeCell ref="M11:R11"/>
    <mergeCell ref="M12:R12"/>
    <mergeCell ref="M13:R13"/>
    <mergeCell ref="M14:R14"/>
  </mergeCells>
  <dataValidations>
    <dataValidation type="list" allowBlank="1" showErrorMessage="1" sqref="C2:L17">
      <formula1>"Go,No Go,Maybe,N/A"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6.38"/>
    <col customWidth="1" min="3" max="3" width="15.63"/>
    <col customWidth="1" min="4" max="4" width="17.25"/>
    <col customWidth="1" min="5" max="5" width="15.13"/>
    <col customWidth="1" min="6" max="6" width="12.25"/>
    <col customWidth="1" min="7" max="8" width="10.88"/>
    <col customWidth="1" min="9" max="9" width="18.5"/>
    <col customWidth="1" min="10" max="10" width="12.38"/>
    <col customWidth="1" min="11" max="11" width="16.88"/>
    <col customWidth="1" min="12" max="12" width="13.13"/>
    <col customWidth="1" min="13" max="24" width="27.13"/>
  </cols>
  <sheetData>
    <row r="1">
      <c r="A1" s="16" t="s">
        <v>44</v>
      </c>
      <c r="B1" s="17" t="s">
        <v>45</v>
      </c>
      <c r="C1" s="17" t="s">
        <v>46</v>
      </c>
      <c r="D1" s="17" t="s">
        <v>47</v>
      </c>
      <c r="E1" s="17" t="s">
        <v>48</v>
      </c>
      <c r="F1" s="17" t="s">
        <v>49</v>
      </c>
      <c r="G1" s="17" t="s">
        <v>9</v>
      </c>
      <c r="H1" s="18" t="s">
        <v>50</v>
      </c>
      <c r="I1" s="19" t="s">
        <v>51</v>
      </c>
      <c r="J1" s="20"/>
      <c r="K1" s="21" t="s">
        <v>52</v>
      </c>
      <c r="L1" s="22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17" t="s">
        <v>45</v>
      </c>
      <c r="B2" s="24">
        <v>1.0</v>
      </c>
      <c r="C2" s="25">
        <f>1/B3</f>
        <v>0.1428571429</v>
      </c>
      <c r="D2" s="25">
        <f>1/B4</f>
        <v>1</v>
      </c>
      <c r="E2" s="25">
        <f>1/B5</f>
        <v>0.2</v>
      </c>
      <c r="F2" s="25">
        <v>9.0</v>
      </c>
      <c r="G2" s="25">
        <f>1/B7</f>
        <v>0.1428571429</v>
      </c>
      <c r="H2" s="26">
        <f t="shared" ref="H2:H4" si="1">SUM(B2:G2)</f>
        <v>11.48571429</v>
      </c>
      <c r="I2" s="27">
        <f t="shared" ref="I2:I8" si="2">H2/$H$8</f>
        <v>0.1172999611</v>
      </c>
      <c r="J2" s="20"/>
      <c r="K2" s="16" t="s">
        <v>53</v>
      </c>
      <c r="L2" s="18" t="s">
        <v>54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>
      <c r="A3" s="17" t="s">
        <v>46</v>
      </c>
      <c r="B3" s="28">
        <v>7.0</v>
      </c>
      <c r="C3" s="24">
        <v>1.0</v>
      </c>
      <c r="D3" s="25">
        <f>1/C4</f>
        <v>7</v>
      </c>
      <c r="E3" s="25">
        <f>1/C5</f>
        <v>1</v>
      </c>
      <c r="F3" s="25">
        <v>9.0</v>
      </c>
      <c r="G3" s="25">
        <f>1/C7</f>
        <v>1</v>
      </c>
      <c r="H3" s="26">
        <f t="shared" si="1"/>
        <v>26</v>
      </c>
      <c r="I3" s="27">
        <f t="shared" si="2"/>
        <v>0.2655297627</v>
      </c>
      <c r="J3" s="20"/>
      <c r="K3" s="29" t="s">
        <v>55</v>
      </c>
      <c r="L3" s="30">
        <v>46031.0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>
      <c r="A4" s="17" t="s">
        <v>47</v>
      </c>
      <c r="B4" s="28">
        <v>1.0</v>
      </c>
      <c r="C4" s="28">
        <f>1/7</f>
        <v>0.1428571429</v>
      </c>
      <c r="D4" s="24">
        <v>1.0</v>
      </c>
      <c r="E4" s="25">
        <f>1/D5</f>
        <v>0.2</v>
      </c>
      <c r="F4" s="25">
        <v>9.0</v>
      </c>
      <c r="G4" s="25">
        <f>1/D7</f>
        <v>0.3333333333</v>
      </c>
      <c r="H4" s="26">
        <f t="shared" si="1"/>
        <v>11.67619048</v>
      </c>
      <c r="I4" s="27">
        <f t="shared" si="2"/>
        <v>0.1192452341</v>
      </c>
      <c r="J4" s="20"/>
      <c r="K4" s="29" t="s">
        <v>56</v>
      </c>
      <c r="L4" s="30">
        <v>46029.0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>
      <c r="A5" s="17" t="s">
        <v>48</v>
      </c>
      <c r="B5" s="28">
        <v>5.0</v>
      </c>
      <c r="C5" s="28">
        <v>1.0</v>
      </c>
      <c r="D5" s="28">
        <v>5.0</v>
      </c>
      <c r="E5" s="24">
        <v>1.0</v>
      </c>
      <c r="F5" s="25">
        <v>9.0</v>
      </c>
      <c r="G5" s="31">
        <f>1/E7</f>
        <v>0.2</v>
      </c>
      <c r="H5" s="26">
        <f>0.2+9+1+5+1+5</f>
        <v>21.2</v>
      </c>
      <c r="I5" s="27">
        <f t="shared" si="2"/>
        <v>0.2165088834</v>
      </c>
      <c r="J5" s="20"/>
      <c r="K5" s="29" t="s">
        <v>57</v>
      </c>
      <c r="L5" s="30">
        <v>46027.0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>
      <c r="A6" s="17" t="s">
        <v>49</v>
      </c>
      <c r="B6" s="32">
        <v>46031.0</v>
      </c>
      <c r="C6" s="32">
        <v>46031.0</v>
      </c>
      <c r="D6" s="32">
        <v>46031.0</v>
      </c>
      <c r="E6" s="32">
        <v>46031.0</v>
      </c>
      <c r="F6" s="24">
        <v>1.0</v>
      </c>
      <c r="G6" s="31">
        <f>1/F7</f>
        <v>0.1111111111</v>
      </c>
      <c r="H6" s="26">
        <f>SUM(F6:G6)+(1/9)*4</f>
        <v>1.555555556</v>
      </c>
      <c r="I6" s="27">
        <f t="shared" si="2"/>
        <v>0.01588639606</v>
      </c>
      <c r="J6" s="20"/>
      <c r="K6" s="29" t="s">
        <v>58</v>
      </c>
      <c r="L6" s="30">
        <v>46025.0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>
      <c r="A7" s="17" t="s">
        <v>9</v>
      </c>
      <c r="B7" s="28">
        <v>7.0</v>
      </c>
      <c r="C7" s="28">
        <v>1.0</v>
      </c>
      <c r="D7" s="28">
        <v>3.0</v>
      </c>
      <c r="E7" s="28">
        <v>5.0</v>
      </c>
      <c r="F7" s="28">
        <v>9.0</v>
      </c>
      <c r="G7" s="24">
        <v>1.0</v>
      </c>
      <c r="H7" s="26">
        <f>7+1+3+5+9+1</f>
        <v>26</v>
      </c>
      <c r="I7" s="27">
        <f t="shared" si="2"/>
        <v>0.2655297627</v>
      </c>
      <c r="J7" s="20"/>
      <c r="K7" s="29" t="s">
        <v>59</v>
      </c>
      <c r="L7" s="33">
        <v>1.0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>
      <c r="A8" s="20"/>
      <c r="B8" s="20"/>
      <c r="C8" s="20"/>
      <c r="D8" s="20"/>
      <c r="E8" s="20"/>
      <c r="F8" s="20"/>
      <c r="G8" s="20"/>
      <c r="H8" s="26">
        <f>sum(H2:H7)</f>
        <v>97.91746032</v>
      </c>
      <c r="I8" s="27">
        <f t="shared" si="2"/>
        <v>1</v>
      </c>
      <c r="J8" s="20"/>
      <c r="K8" s="29" t="s">
        <v>60</v>
      </c>
      <c r="L8" s="33">
        <v>3.0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9" t="s">
        <v>61</v>
      </c>
      <c r="L9" s="33">
        <v>5.0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9" t="s">
        <v>62</v>
      </c>
      <c r="L10" s="33">
        <v>7.0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>
      <c r="A11" s="34"/>
      <c r="J11" s="20"/>
      <c r="K11" s="29" t="s">
        <v>63</v>
      </c>
      <c r="L11" s="33">
        <v>9.0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>
      <c r="A12" s="34"/>
      <c r="L12" s="20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</row>
  </sheetData>
  <mergeCells count="3">
    <mergeCell ref="K1:L1"/>
    <mergeCell ref="A11:I11"/>
    <mergeCell ref="A12:K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7.38"/>
    <col customWidth="1" min="3" max="3" width="13.88"/>
    <col customWidth="1" min="4" max="4" width="27.38"/>
    <col customWidth="1" min="5" max="16" width="15.0"/>
    <col customWidth="1" min="17" max="24" width="13.88"/>
  </cols>
  <sheetData>
    <row r="1">
      <c r="A1" s="35" t="s">
        <v>64</v>
      </c>
      <c r="B1" s="36" t="s">
        <v>65</v>
      </c>
      <c r="C1" s="36" t="s">
        <v>66</v>
      </c>
      <c r="D1" s="35" t="s">
        <v>67</v>
      </c>
      <c r="E1" s="37" t="s">
        <v>13</v>
      </c>
      <c r="F1" s="37" t="s">
        <v>18</v>
      </c>
      <c r="G1" s="37" t="s">
        <v>20</v>
      </c>
      <c r="H1" s="38" t="s">
        <v>25</v>
      </c>
      <c r="I1" s="39" t="s">
        <v>29</v>
      </c>
      <c r="J1" s="39" t="s">
        <v>30</v>
      </c>
      <c r="K1" s="40" t="s">
        <v>32</v>
      </c>
      <c r="L1" s="40" t="s">
        <v>33</v>
      </c>
      <c r="M1" s="41" t="s">
        <v>35</v>
      </c>
      <c r="N1" s="41" t="s">
        <v>38</v>
      </c>
      <c r="O1" s="42" t="s">
        <v>39</v>
      </c>
      <c r="P1" s="42" t="s">
        <v>40</v>
      </c>
      <c r="Q1" s="43"/>
      <c r="R1" s="43"/>
    </row>
    <row r="2">
      <c r="A2" s="44">
        <v>1.0</v>
      </c>
      <c r="B2" s="45" t="s">
        <v>45</v>
      </c>
      <c r="C2" s="46"/>
      <c r="D2" s="47">
        <v>0.11729996109454026</v>
      </c>
      <c r="E2" s="44">
        <v>-1.0</v>
      </c>
      <c r="F2" s="44">
        <v>2.0</v>
      </c>
      <c r="G2" s="44">
        <v>1.0</v>
      </c>
      <c r="H2" s="44">
        <v>1.0</v>
      </c>
      <c r="I2" s="44">
        <v>1.0</v>
      </c>
      <c r="J2" s="44">
        <v>2.0</v>
      </c>
      <c r="K2" s="44">
        <v>2.0</v>
      </c>
      <c r="L2" s="48">
        <v>-1.0</v>
      </c>
      <c r="M2" s="48">
        <v>0.0</v>
      </c>
      <c r="N2" s="48">
        <v>-2.0</v>
      </c>
      <c r="O2" s="48">
        <v>2.0</v>
      </c>
      <c r="P2" s="48">
        <v>-1.0</v>
      </c>
    </row>
    <row r="3">
      <c r="A3" s="44">
        <v>2.0</v>
      </c>
      <c r="B3" s="45" t="s">
        <v>46</v>
      </c>
      <c r="C3" s="46"/>
      <c r="D3" s="47">
        <v>0.2655297626766956</v>
      </c>
      <c r="E3" s="44">
        <v>0.0</v>
      </c>
      <c r="F3" s="44">
        <v>0.0</v>
      </c>
      <c r="G3" s="44">
        <v>0.0</v>
      </c>
      <c r="H3" s="44">
        <v>2.0</v>
      </c>
      <c r="I3" s="44">
        <v>2.0</v>
      </c>
      <c r="J3" s="44">
        <v>2.0</v>
      </c>
      <c r="K3" s="44">
        <v>0.0</v>
      </c>
      <c r="L3" s="48">
        <v>0.0</v>
      </c>
      <c r="M3" s="48">
        <v>0.0</v>
      </c>
      <c r="N3" s="48">
        <v>0.0</v>
      </c>
      <c r="O3" s="48">
        <v>0.0</v>
      </c>
      <c r="P3" s="48">
        <v>0.0</v>
      </c>
    </row>
    <row r="4">
      <c r="A4" s="44">
        <v>3.0</v>
      </c>
      <c r="B4" s="45" t="s">
        <v>47</v>
      </c>
      <c r="C4" s="46"/>
      <c r="D4" s="47">
        <v>0.11924523408118273</v>
      </c>
      <c r="E4" s="44">
        <v>2.0</v>
      </c>
      <c r="F4" s="44">
        <v>1.0</v>
      </c>
      <c r="G4" s="44">
        <v>1.0</v>
      </c>
      <c r="H4" s="44">
        <v>0.0</v>
      </c>
      <c r="I4" s="44">
        <v>-1.0</v>
      </c>
      <c r="J4" s="44">
        <v>0.0</v>
      </c>
      <c r="K4" s="44">
        <v>0.0</v>
      </c>
      <c r="L4" s="48">
        <v>-1.0</v>
      </c>
      <c r="M4" s="48">
        <v>0.0</v>
      </c>
      <c r="N4" s="48">
        <v>0.0</v>
      </c>
      <c r="O4" s="48">
        <v>-1.0</v>
      </c>
      <c r="P4" s="48">
        <v>-1.0</v>
      </c>
    </row>
    <row r="5">
      <c r="A5" s="44">
        <v>4.0</v>
      </c>
      <c r="B5" s="45" t="s">
        <v>48</v>
      </c>
      <c r="C5" s="46"/>
      <c r="D5" s="47">
        <v>0.21650888341330565</v>
      </c>
      <c r="E5" s="44">
        <v>-1.0</v>
      </c>
      <c r="F5" s="44">
        <v>1.0</v>
      </c>
      <c r="G5" s="44">
        <v>1.0</v>
      </c>
      <c r="H5" s="44">
        <v>2.0</v>
      </c>
      <c r="I5" s="44">
        <v>0.0</v>
      </c>
      <c r="J5" s="44">
        <v>0.0</v>
      </c>
      <c r="K5" s="44">
        <v>0.0</v>
      </c>
      <c r="L5" s="48">
        <v>0.0</v>
      </c>
      <c r="M5" s="48">
        <v>0.0</v>
      </c>
      <c r="N5" s="48">
        <v>1.0</v>
      </c>
      <c r="O5" s="48">
        <v>1.0</v>
      </c>
      <c r="P5" s="48">
        <v>-1.0</v>
      </c>
    </row>
    <row r="6">
      <c r="A6" s="44">
        <v>5.0</v>
      </c>
      <c r="B6" s="45" t="s">
        <v>49</v>
      </c>
      <c r="C6" s="46"/>
      <c r="D6" s="47">
        <v>0.01588639605758008</v>
      </c>
      <c r="E6" s="44">
        <v>0.0</v>
      </c>
      <c r="F6" s="44">
        <v>0.0</v>
      </c>
      <c r="G6" s="44">
        <v>0.0</v>
      </c>
      <c r="H6" s="44">
        <v>0.0</v>
      </c>
      <c r="I6" s="44">
        <v>0.0</v>
      </c>
      <c r="J6" s="44">
        <v>0.0</v>
      </c>
      <c r="K6" s="44">
        <v>0.0</v>
      </c>
      <c r="L6" s="48">
        <v>0.0</v>
      </c>
      <c r="M6" s="48">
        <v>0.0</v>
      </c>
      <c r="N6" s="48">
        <v>2.0</v>
      </c>
      <c r="O6" s="48">
        <v>1.0</v>
      </c>
      <c r="P6" s="48">
        <v>0.0</v>
      </c>
    </row>
    <row r="7">
      <c r="A7" s="44">
        <v>6.0</v>
      </c>
      <c r="B7" s="45" t="s">
        <v>9</v>
      </c>
      <c r="C7" s="46"/>
      <c r="D7" s="47">
        <v>0.2655297626766956</v>
      </c>
      <c r="E7" s="44">
        <v>-1.0</v>
      </c>
      <c r="F7" s="44">
        <v>-1.0</v>
      </c>
      <c r="G7" s="44">
        <v>2.0</v>
      </c>
      <c r="H7" s="44">
        <v>2.0</v>
      </c>
      <c r="I7" s="44">
        <v>1.0</v>
      </c>
      <c r="J7" s="44">
        <v>2.0</v>
      </c>
      <c r="K7" s="44">
        <v>2.0</v>
      </c>
      <c r="L7" s="48">
        <v>1.0</v>
      </c>
      <c r="M7" s="48">
        <v>2.0</v>
      </c>
      <c r="N7" s="48">
        <v>2.0</v>
      </c>
      <c r="O7" s="48">
        <v>2.0</v>
      </c>
      <c r="P7" s="48">
        <v>-1.0</v>
      </c>
    </row>
    <row r="8">
      <c r="A8" s="49"/>
      <c r="B8" s="50" t="s">
        <v>68</v>
      </c>
      <c r="C8" s="51"/>
      <c r="D8" s="51"/>
      <c r="E8" s="51"/>
      <c r="F8" s="51"/>
      <c r="G8" s="51"/>
      <c r="H8" s="51"/>
      <c r="I8" s="51"/>
      <c r="J8" s="51"/>
      <c r="K8" s="22"/>
      <c r="L8" s="52"/>
      <c r="M8" s="52"/>
      <c r="N8" s="52"/>
      <c r="O8" s="52"/>
      <c r="P8" s="52"/>
    </row>
    <row r="9">
      <c r="A9" s="49"/>
      <c r="B9" s="53" t="s">
        <v>69</v>
      </c>
      <c r="C9" s="51"/>
      <c r="D9" s="22"/>
      <c r="E9" s="44">
        <f>SUMPRODUCT(D2:D7,E2:E7)</f>
        <v>-0.360848139</v>
      </c>
      <c r="F9" s="44">
        <f>SUMPRODUCT(D2:D7,F2:F7)</f>
        <v>0.304824277</v>
      </c>
      <c r="G9" s="54">
        <f>SUMPRODUCT(D2:D7,G2:G7)</f>
        <v>0.9841136039</v>
      </c>
      <c r="H9" s="54">
        <f>SUMPRODUCT(D2:D7,H2:H7)</f>
        <v>1.612436779</v>
      </c>
      <c r="I9" s="44">
        <f>SUMPRODUCT(D2:D7,I2:I7)</f>
        <v>0.794644015</v>
      </c>
      <c r="J9" s="54">
        <f>SUMPRODUCT(D2:D7,J2:J7)</f>
        <v>1.296718973</v>
      </c>
      <c r="K9" s="54">
        <f>SUMPRODUCT(D2:D7,K2:K7)</f>
        <v>0.7656594475</v>
      </c>
      <c r="L9" s="44">
        <f>SUMPRODUCT(D2:D7,L2:L7)</f>
        <v>0.0289845675</v>
      </c>
      <c r="M9" s="44">
        <f>SUMPRODUCT(D2:D7,M2:M7)</f>
        <v>0.5310595254</v>
      </c>
      <c r="N9" s="54">
        <f>SUMPRODUCT(D2:D7,N2:N7)</f>
        <v>0.5447412787</v>
      </c>
      <c r="O9" s="54">
        <f>SUMPRODUCT(D2:D7,O2:O7)</f>
        <v>0.8788094929</v>
      </c>
      <c r="P9" s="44">
        <f>SUMPRODUCT(D2:D7,P2:P7)</f>
        <v>-0.7185838413</v>
      </c>
    </row>
    <row r="10">
      <c r="A10" s="49"/>
      <c r="B10" s="55" t="s">
        <v>70</v>
      </c>
      <c r="D10" s="49"/>
      <c r="E10" s="49"/>
      <c r="F10" s="49"/>
      <c r="G10" s="49"/>
      <c r="H10" s="49"/>
      <c r="I10" s="49"/>
      <c r="J10" s="49"/>
      <c r="K10" s="49"/>
      <c r="L10" s="56"/>
      <c r="M10" s="56"/>
      <c r="N10" s="56"/>
      <c r="O10" s="56"/>
      <c r="P10" s="56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6"/>
      <c r="M11" s="56"/>
      <c r="N11" s="56"/>
      <c r="O11" s="56"/>
      <c r="P11" s="56"/>
    </row>
    <row r="12">
      <c r="A12" s="49"/>
      <c r="B12" s="57" t="s">
        <v>71</v>
      </c>
      <c r="C12" s="49"/>
      <c r="D12" s="49"/>
      <c r="E12" s="49"/>
      <c r="F12" s="49"/>
      <c r="G12" s="49"/>
      <c r="H12" s="49"/>
      <c r="I12" s="49"/>
      <c r="J12" s="49"/>
      <c r="K12" s="49"/>
      <c r="L12" s="56"/>
      <c r="M12" s="56"/>
      <c r="N12" s="56"/>
      <c r="O12" s="56"/>
      <c r="P12" s="56"/>
    </row>
    <row r="13">
      <c r="A13" s="49"/>
      <c r="B13" s="55" t="s">
        <v>72</v>
      </c>
      <c r="I13" s="49"/>
      <c r="J13" s="49"/>
      <c r="K13" s="49"/>
      <c r="L13" s="56"/>
      <c r="M13" s="56"/>
      <c r="N13" s="56"/>
      <c r="O13" s="56"/>
      <c r="P13" s="56"/>
    </row>
    <row r="14">
      <c r="A14" s="49"/>
      <c r="B14" s="55" t="s">
        <v>73</v>
      </c>
      <c r="D14" s="49"/>
      <c r="E14" s="49"/>
      <c r="F14" s="49"/>
      <c r="G14" s="49"/>
      <c r="H14" s="49"/>
      <c r="I14" s="49"/>
      <c r="J14" s="49"/>
      <c r="K14" s="49"/>
      <c r="L14" s="56"/>
      <c r="M14" s="56"/>
      <c r="N14" s="56"/>
      <c r="O14" s="56"/>
      <c r="P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</row>
    <row r="21">
      <c r="A21" s="56"/>
      <c r="B21" s="56"/>
      <c r="C21" s="56"/>
      <c r="D21" s="56"/>
      <c r="E21" s="56"/>
      <c r="F21" s="58" t="s">
        <v>74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</row>
  </sheetData>
  <mergeCells count="5">
    <mergeCell ref="B8:K8"/>
    <mergeCell ref="B9:D9"/>
    <mergeCell ref="B10:C10"/>
    <mergeCell ref="B13:H13"/>
    <mergeCell ref="B14:C14"/>
  </mergeCells>
  <drawing r:id="rId1"/>
</worksheet>
</file>